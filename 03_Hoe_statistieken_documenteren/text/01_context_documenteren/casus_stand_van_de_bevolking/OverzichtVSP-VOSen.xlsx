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https://vlaamseoverheid-my.sharepoint.com/personal/jorre_vannieuwenhuyze_vlaanderen_be/Documents/Documenten/01_projects/023_transitietraject/casus_stand_van_de_bevolking/"/>
    </mc:Choice>
  </mc:AlternateContent>
  <xr:revisionPtr revIDLastSave="96" documentId="13_ncr:1_{C812FE3C-9C95-423C-9581-0EDFB946FF5A}" xr6:coauthVersionLast="47" xr6:coauthVersionMax="47" xr10:uidLastSave="{D1692255-159B-4D1E-974C-818C51C4C166}"/>
  <bookViews>
    <workbookView xWindow="1320" yWindow="-108" windowWidth="21828" windowHeight="13176" xr2:uid="{0849D66A-46FB-4925-94A9-07EC43E442AB}"/>
  </bookViews>
  <sheets>
    <sheet name="Blad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5" i="1" l="1"/>
  <c r="H55" i="1"/>
  <c r="I50" i="1"/>
  <c r="H50" i="1"/>
  <c r="I46" i="1"/>
  <c r="H46" i="1"/>
  <c r="I26" i="1"/>
  <c r="H26" i="1"/>
  <c r="I21" i="1"/>
  <c r="H21" i="1"/>
  <c r="H16" i="1" l="1"/>
  <c r="H10" i="1"/>
  <c r="H6" i="1"/>
  <c r="H2" i="1"/>
  <c r="I16" i="1"/>
  <c r="I10" i="1"/>
  <c r="I6" i="1"/>
  <c r="I2" i="1"/>
</calcChain>
</file>

<file path=xl/sharedStrings.xml><?xml version="1.0" encoding="utf-8"?>
<sst xmlns="http://schemas.openxmlformats.org/spreadsheetml/2006/main" count="293" uniqueCount="174">
  <si>
    <t>Bevolking naar leeftijd en geslacht</t>
  </si>
  <si>
    <t>Bevolking naar burgerlijke staat</t>
  </si>
  <si>
    <t>Bevolking naar nationaliteit</t>
  </si>
  <si>
    <t>Bevolking naar herkomst</t>
  </si>
  <si>
    <t>dimensie</t>
  </si>
  <si>
    <t>parameter</t>
  </si>
  <si>
    <t>operationalisatie</t>
  </si>
  <si>
    <t>conceptueel</t>
  </si>
  <si>
    <t>bevolkingsgrootte</t>
  </si>
  <si>
    <t>opmerking</t>
  </si>
  <si>
    <t>per jaar</t>
  </si>
  <si>
    <t>1 januari van elk kalenderjaar van 1990 tot 2024</t>
  </si>
  <si>
    <t>beginjaar juist?</t>
  </si>
  <si>
    <t>aantal waarden</t>
  </si>
  <si>
    <t>aantal cijfers</t>
  </si>
  <si>
    <t>Aantal inwoners volgens wettelijke bevolking aangeleverd door Statbel. Wettelijke bevolking is …</t>
  </si>
  <si>
    <t>Vlaamse gemeenten  + Vlaams gewest volgens NIS-code-indeling in 2019</t>
  </si>
  <si>
    <t>provincies? Arrondissementen? Staan in powerBI</t>
  </si>
  <si>
    <t>geografisch gebied</t>
  </si>
  <si>
    <t>tijdspunt</t>
  </si>
  <si>
    <t>procentuele groei bevolking doorheen het jaar</t>
  </si>
  <si>
    <t>per jaarstart</t>
  </si>
  <si>
    <t>elk kalenderjaar van 1990 tot 2023</t>
  </si>
  <si>
    <t>of ook nog berekenen voor 2024? Krijgen we die cijfers?</t>
  </si>
  <si>
    <t>leeftijd</t>
  </si>
  <si>
    <t>geslacht</t>
  </si>
  <si>
    <t>Volgens de opdeling tussen mannen en vrouwen in het Rijksrgister</t>
  </si>
  <si>
    <t>Per leeftijd in jaren van 0 jaar tot 124 jaar, geregistreerd in het Rijksregister. Leeftijd wordt bepaald aan het begin van de dag (iemand die 10 jaar wordt op 1 januari wordt bij de negenjarigen gerekend).</t>
  </si>
  <si>
    <t>voor de Vlaamse gemeenten en Vlaanderen</t>
  </si>
  <si>
    <t>per officiële leeftijd</t>
  </si>
  <si>
    <t>burgerlijke staat</t>
  </si>
  <si>
    <t>100*(y-x)/x waarbij x het aantal inwoners is op 1 januari van het referentiejaar en y het aantal inwoners  op 1 januari van het jaar na het referentiejaar. Het aantal inwoners verwijst naar…</t>
  </si>
  <si>
    <t>dependency</t>
  </si>
  <si>
    <t>VOS101a</t>
  </si>
  <si>
    <t>codelijst</t>
  </si>
  <si>
    <t>cl_param</t>
  </si>
  <si>
    <t>cl_nis2019</t>
  </si>
  <si>
    <t>cl_year</t>
  </si>
  <si>
    <t>aantal cijfers per jaar</t>
  </si>
  <si>
    <t>Burgerlijke staat volgens 4 categorieën: Ongehuwd, Gehuwd, Gescheiden, Verweduwd</t>
  </si>
  <si>
    <t>nationaliteit</t>
  </si>
  <si>
    <t>per nationaliteit in Rijksregister</t>
  </si>
  <si>
    <t>per burgerlijke staat in Rijksregister</t>
  </si>
  <si>
    <t>per geslacht in Rijksregister</t>
  </si>
  <si>
    <t>Nationaliteit volgens het Rijksregister</t>
  </si>
  <si>
    <t xml:space="preserve">per land of al gegroepeerd? Waar vind ik alle landen? </t>
  </si>
  <si>
    <t>cl_</t>
  </si>
  <si>
    <t>herkomst</t>
  </si>
  <si>
    <t>cl_lftd</t>
  </si>
  <si>
    <t>Per jaar of al in leeftijdsklassen? Er zijn verschillende publicaties met verschillende opdelingen. Wat is de maximum leeftijd?</t>
  </si>
  <si>
    <t>DE_00</t>
  </si>
  <si>
    <t>Inwonersaantal</t>
  </si>
  <si>
    <t>Aantal inwoners zoals geregistreerd in de registers van de burgerlijke stand van de gemeente (bevolking de jure), op 1 januari van een observatiejaar.</t>
  </si>
  <si>
    <t>DE_01</t>
  </si>
  <si>
    <t>Inwoners, naar geslacht</t>
  </si>
  <si>
    <t>Aantal inwoners naar geslacht zoals geregistreerd in de registers van de burgerlijke stand van de gemeente (bevolking de jure), op 1 januari van een observatiejaar.</t>
  </si>
  <si>
    <t>DE_02</t>
  </si>
  <si>
    <t>Inwoners, naar leeftijd</t>
  </si>
  <si>
    <t>Aantal inwoners naar leeftijd zoals geregistreerd in de registers van de burgerlijke stand van de gemeente (bevolking de jure), op 1 januari van een observatiejaar.</t>
  </si>
  <si>
    <t>DE_03</t>
  </si>
  <si>
    <t>Jonge kinderen</t>
  </si>
  <si>
    <t>Aandeel jonge kinderen van 0 tot en met 3 jaar.</t>
  </si>
  <si>
    <t>DE_04</t>
  </si>
  <si>
    <t>Kinderen</t>
  </si>
  <si>
    <t>Aandeel kinderen van 0 tot en met 17 jaar.</t>
  </si>
  <si>
    <t>DE_05</t>
  </si>
  <si>
    <t>65-plussers</t>
  </si>
  <si>
    <t>Aandeel personen van 65 jaar en ouder.</t>
  </si>
  <si>
    <t>DE_06</t>
  </si>
  <si>
    <t>80-plussers</t>
  </si>
  <si>
    <t>Aandeel personen van 80 jaar en ouder.</t>
  </si>
  <si>
    <t>DE_07</t>
  </si>
  <si>
    <t>Groene druk</t>
  </si>
  <si>
    <t>Verhouding tussen de jeugdige bevolking (0-19 jaar) en de bevolking op beroepsactieve leeftijd (20-64 jaar).</t>
  </si>
  <si>
    <t>DE_08</t>
  </si>
  <si>
    <t>Grijze druk</t>
  </si>
  <si>
    <t>Verhouding tussen de leeftijdsgroep van ouderen (vergrijsde bevolking, 65 jaar en ouder) en de bevolking op beroepsactieve leeftijd (20-64 jaar).</t>
  </si>
  <si>
    <t>DE_09</t>
  </si>
  <si>
    <t>Demografische afhankelijkheidsratio</t>
  </si>
  <si>
    <t>Verhouding tussen de bevolking buiten beroepsactieve leeftijd (0-19 jaar en 65 jaar en ouder, "niet-actieven") en de bevolking op beroepsactieve leeftijd (20-64 jaar). Dit is de optelsom van groene druk en grijze druk.</t>
  </si>
  <si>
    <t>DE_10</t>
  </si>
  <si>
    <t>Demografische doorstromingsratio</t>
  </si>
  <si>
    <t>Verhouding tussen de potentiële in- en uitstroom op de arbeidsmarkt, afgaand op de verhouding tussen de jonge (15-24 jaar) en oude (55-64 jaar) leeftijdscategorieën op de arbeidsmarkt.</t>
  </si>
  <si>
    <t>Als de coëfficiënt groter is dan 100, dan wil dit zeggen dat de leeftijdsklassen die de arbeidsmarkt zullen verlaten meer dan volledig vervangen worden door jonge instromers. Omgekeerd duidt een coëfficiënt lager dan 100 erop dat de bevolkingsstructuur de vervanging van uittreders niet volledig zal kunnen opvangen door jonge intreders. Een coëfficiënt gelijk aan 100 duidt aan dat de potentiële intreders en uittreders elkaar in evenwicht houden.</t>
  </si>
  <si>
    <t>DE_12</t>
  </si>
  <si>
    <t>Interne vergrijzing</t>
  </si>
  <si>
    <t>Aandeel van de oudste ouderen (80 jaar en ouder) binnen het segment van de oudere bevolking (65 jaar en ouder).</t>
  </si>
  <si>
    <t>DE_36</t>
  </si>
  <si>
    <t>Personen van buitenlandse herkomst</t>
  </si>
  <si>
    <t>DE_37</t>
  </si>
  <si>
    <t>Personen van buitenlandse herkomst excl. Nederlandse herkomst</t>
  </si>
  <si>
    <t>DE_38</t>
  </si>
  <si>
    <t>Personen van buitenlandse herkomst, naar geslacht</t>
  </si>
  <si>
    <t>DE_39</t>
  </si>
  <si>
    <t>Personen van buitenlandse herkomst, naar leeftijd</t>
  </si>
  <si>
    <t>DE_40</t>
  </si>
  <si>
    <t>Personen van buitenlandse herkomst, naar herkomst</t>
  </si>
  <si>
    <t>DE_41</t>
  </si>
  <si>
    <t>Personen van buitenlandse herkomst, naar nationaliteitshistoriek</t>
  </si>
  <si>
    <t>DE_42</t>
  </si>
  <si>
    <t>Vreemdelingen</t>
  </si>
  <si>
    <t>DE_43</t>
  </si>
  <si>
    <t>Vreemdelingen met MOE-nationaliteit</t>
  </si>
  <si>
    <t>DE_44</t>
  </si>
  <si>
    <t>Vreemdelingen, naar geslacht</t>
  </si>
  <si>
    <t>DE_45</t>
  </si>
  <si>
    <t>Vreemdelingen, naar leeftijd</t>
  </si>
  <si>
    <t>DE_46</t>
  </si>
  <si>
    <t>Vreemdelingen, naar nationaliteit</t>
  </si>
  <si>
    <t>DE_47</t>
  </si>
  <si>
    <t>Vreemdelingen, naar nationaliteitsgroep</t>
  </si>
  <si>
    <t>DE_48</t>
  </si>
  <si>
    <t>Vreemde nationaliteiten</t>
  </si>
  <si>
    <t>Aantal personen van buitenlandse herkomst ten opzichte van de totale bevolking, op 1 januari van het jaar.</t>
  </si>
  <si>
    <t>Om de herkomst van een persoon te bepalen worden vier criteria in rekening gebracht: de huidige nationaliteit van de persoon, de geboortenationaliteit van de persoon, de geboortenationaliteit van de vader en de geboortenationaliteit van de moeder. Is één van deze vier criteria een niet-Belgische nationaliteit, dan wordt de persoon beschouwd als zijnde een persoon van buitenlandse herkomst. Om de personen van buitenlandse herkomst op te delen in verschillende herkomstgroepen wordt eerst gekeken naar de geboortenationaliteit van de vader, daarna naar de geboortenationaliteit van de moeder, de huidige nationaliteit van de persoon en de geboortenationaliteit van de persoon.</t>
  </si>
  <si>
    <t>Aantal personen van buitenlandse herkomst zonder personen van Nederlandse herkomst ten opzichte van de totale bevolking, op 1 januari van het jaar.</t>
  </si>
  <si>
    <t>Aantal personen van buitenlandse herkomst ten opzichte van de totale bevolking, op 1 januari van het jaar, naar geslacht.</t>
  </si>
  <si>
    <t>Aantal personen van buitenlandse herkomst, ten opzichte van de totale bevolking, op 1 januari van het jaar, naar leeftijdsgroep.</t>
  </si>
  <si>
    <t>Aantal personen van buitenlandse herkomst, naar herkomstgroep, ten opzichte van de totale bevolking, op 1 januari van het jaar.</t>
  </si>
  <si>
    <t>Aantal personen van buitenlandse herkomst, naar nationaliteitshistoriek, ten opzichte van het totaal aantal personen van buitenlandse herkomst, op 1 januari van het jaar.</t>
  </si>
  <si>
    <t>Aantal personen met een huidige niet-Belgische nationaliteit ten opzichte van de totale bevolking, op 1 januari van het jaar.</t>
  </si>
  <si>
    <t>Belgen zijn personen met een huidige Belgische nationaliteit, inclusief de personen met een dubbele nationaliteit waaronder de Belgische nationaliteit. Vreemdelingen zijn personen zonder huidige Belgische nationaliteit.</t>
  </si>
  <si>
    <t>Aantal personen met een huidige nationaliteit uit de MOE-landen ten opzichte van de totale bevolking, op 1 januari van het jaar.</t>
  </si>
  <si>
    <t>De MOE-landen (Midden- en Oost-Europa) zijn:</t>
  </si>
  <si>
    <t>- Estland, Letland, Litouwen, Polen, Tsjechië, Slovakije, Hongarije, Slovenië, Bulgarije en Roemenië;</t>
  </si>
  <si>
    <t>- Turkije, Macedonië, Kroatië, Servië en Montenegro;</t>
  </si>
  <si>
    <t>- Albanië, Belarus, Kosovo, Moldavië, Rusland, Bosnië en Oekraïne.</t>
  </si>
  <si>
    <t>Aantal personen met een huidige niet-Belgische nationaliteit ten opzichte van de totale bevolking, op 1 januari van het jaar, naar geslacht.</t>
  </si>
  <si>
    <t>Aantal personen met een huidige niet-Belgische nationaliteit ten opzichte van de totale bevolking, op 1 januari van het jaar, naar leeftijdsgroep.</t>
  </si>
  <si>
    <t>Aantal personen met een huidige niet-Belgische nationaliteit, naar nationaliteit, ten opzichte van de totale bevolking, op 1 januari van het jaar.</t>
  </si>
  <si>
    <t>Deze indicator beperkt zich tot de top 5 van meest voorkomende nationaliteiten per jaar per gemeente (en voor het Vlaamse Gewest).</t>
  </si>
  <si>
    <t>Aantal personen met een huidige niet-Belgische nationaliteit, naar nationaliteitsgroep, ten opzichte van de totale bevolking, op 1 januari van het jaar.</t>
  </si>
  <si>
    <t>Volgende nationaliteitsgroepen worden gebruikt:</t>
  </si>
  <si>
    <t>- West- en Noord-EU-15-landen: Nederland, Frankrijk, Duitsland, Luxemburg, Ierland, Oostenrijk, Denemarken, Zweden en Finland;</t>
  </si>
  <si>
    <t>- Zuid-EU-15-landen: Italië, Spanje, Portugal, Griekenland;</t>
  </si>
  <si>
    <t>- EU-12/EU-13-landen: Estland, Letland, Litouwen, Polen, Tsjechië, Slovakije, Hongarije, Slovenië, Bulgarije, Roemenië, Malta en Cyprus, vanaf 2013 ook Kroatië;</t>
  </si>
  <si>
    <t>- Europa buiten de EU: Zwitserland, Noorwegen, Verenigd Koninkrijk, Albanië, Belarus, Kosovo, Moldavië, Rusland, Bosnië, Oekraïne, Liechtenstein, Andorra, Monaco, San Marino, Macedonië, Kroatië tot 2013, IJsland, Servië en Montenegro;</t>
  </si>
  <si>
    <t>- Maghreblanden: Turkije, Marokko, Algerije, Tunesië, Libië en Mauritanië;</t>
  </si>
  <si>
    <t>- Andere landen: andere landen dan diegene vermeld in bovenstaande groepen.</t>
  </si>
  <si>
    <t>Aantal bekende vreemde nationaliteiten.</t>
  </si>
  <si>
    <t>DE_64</t>
  </si>
  <si>
    <t>Huishoudens, naar grootte</t>
  </si>
  <si>
    <t>Aantal private huishoudens (personen ingeschreven op eenzelfde hoofdverblijfplaats) per gemeente, op 1 januari van het observatiejaar, naar grootte. Onder huishouden verstaat men alle personen die gewoonlijk eenzelfde woning betrekken en er samen leven. Een huishouden bestaat ofwel uit een persoon die gewoonlijk alleen leeft, ofwel uit twee of meer personen die al dan niet door verwantschap aan elkaar verbonden zijn.</t>
  </si>
  <si>
    <t>Onder collectief huishouden wordt verstaan: religieuze gemeenschappen, rusthuizen, weeshuizen, studenten- en werkliedenhuizen, ziekenhuizen en gevangenissen. In collectieve huishoudens is er geen referentiepersoon.</t>
  </si>
  <si>
    <t>De bepaling van een referentiepersoon binnen het huishouden is noodzakelijk om elk lid binnen het huishouden te situeren (verwantschapsband). In principe zou als referentiepersoon best dat lid van het huishouden genomen worden dat werkelijk de zaken van het huishouden behartigt of voor het grootste deel van de bestaansmiddelen ervan zorgt. In werkelijkheid is de referentiepersoon echter de persoon die het huishouden vertegenwoordigt bij de contacten met de overheid.</t>
  </si>
  <si>
    <t>DE_69</t>
  </si>
  <si>
    <t>Aangroei bevolking 10 jaar</t>
  </si>
  <si>
    <t>Aangroei van de bevolking ten opzichte van tien jaar eerder.</t>
  </si>
  <si>
    <t>DE_76</t>
  </si>
  <si>
    <t>Scholingsgraad</t>
  </si>
  <si>
    <t>Het aandeel inwoners naar scholingsgraad. De scholingsgraad wordt ingedeeld in 3 grote groepen aan de hand van het hoogst behaalde diploma: laaggeschoolden (maximaal lager secundair onderwijs), middengeschoolden (secundair onderwijs afgewerkt of in het bezit van een einddiploma postsecundair niet-hoger onderwijs) en hooggeschoolden (diploma hoger onderwijs). Als er geen gegevens over de scholingsgraad gekend zijn, worden zij ondergebracht in de categorie ‘onbekend’.</t>
  </si>
  <si>
    <t xml:space="preserve"> </t>
  </si>
  <si>
    <t>DE_77</t>
  </si>
  <si>
    <t>Huishoudens, naar type (volgens LIPRO-typologie)</t>
  </si>
  <si>
    <t>Aantal private huishoudens per gemeente, op 1 januari van het observatiejaar, naar type. Er worden zeven types van private huishoudens onderscheiden:</t>
  </si>
  <si>
    <t>1. Alleenwonende (1-persoonshuishouden met een referentiepersoon van 15 jaar of ouder);</t>
  </si>
  <si>
    <t>2. Gehuwd paar zonder thuiswonend kind (+ eventueel inwonende andere personen);</t>
  </si>
  <si>
    <t>3. Gehuwd paar met thuiswonend(e) kind(eren) (+ eventueel inwonende andere personen);</t>
  </si>
  <si>
    <t>4. Ongehuwd paar zonder thuiswonend kind (+ eventueel inwonende andere personen);</t>
  </si>
  <si>
    <t>5. Ongehuwd paar met thuiswonend(e) kind(eren) (+ eventueel inwonende andere personen);</t>
  </si>
  <si>
    <t>6. Alleenstaande ouder (+ eventueel inwonende andere personen);</t>
  </si>
  <si>
    <t>7. Ander type huishouden. Deze categorie omvat alle huishoudens die niet zijn opgenomen in de voorgaande types zoals samenwonende broers/zussen, vrienden, ...</t>
  </si>
  <si>
    <t>Onder huishouden verstaat men alle personen die gewoonlijk eenzelfde woning betrekken en er samen leven. Een huishouden bestaat ofwel uit een persoon die gewoonlijk alleen leeft, ofwel uit twee of meer personen die al dan niet door verwantschap aan elkaar verbonden zijn. Onder collectief huishouden wordt verstaan: religieuze gemeenschappen, rusthuizen, weeshuizen, studenten- en werkliedenhuizen, ziekenhuizen en gevangenissen. In collectieve huishoudens is er geen referentiepersoon.</t>
  </si>
  <si>
    <t>VOS101b</t>
  </si>
  <si>
    <t>VOS102</t>
  </si>
  <si>
    <t>VOS103</t>
  </si>
  <si>
    <t>VOS104</t>
  </si>
  <si>
    <t>VOS105</t>
  </si>
  <si>
    <r>
      <t>Bevolking: omvang</t>
    </r>
    <r>
      <rPr>
        <strike/>
        <sz val="11"/>
        <rFont val="Calibri"/>
        <family val="2"/>
      </rPr>
      <t xml:space="preserve"> en groei</t>
    </r>
  </si>
  <si>
    <r>
      <t>Bevolking:</t>
    </r>
    <r>
      <rPr>
        <strike/>
        <sz val="11"/>
        <rFont val="Calibri"/>
        <family val="2"/>
      </rPr>
      <t xml:space="preserve"> omvang en</t>
    </r>
    <r>
      <rPr>
        <sz val="11"/>
        <rFont val="Calibri"/>
        <family val="2"/>
      </rPr>
      <t xml:space="preserve"> groei</t>
    </r>
  </si>
  <si>
    <t>Leeftijd in jaren?</t>
  </si>
  <si>
    <t>percentage bevolking</t>
  </si>
  <si>
    <t>Percentage bevolkingAantal inwoners volgens wettelijke bevolking aangeleverd door Statbel. Wettelijke bevolking is …</t>
  </si>
  <si>
    <t>MINDER STRIKT? moeten we deze bijhouden?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</si>
</sst>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theme="1"/>
      <name val="Calibri"/>
      <family val="2"/>
    </font>
    <font>
      <sz val="11"/>
      <name val="Calibri"/>
      <family val="2"/>
    </font>
    <font>
      <strike/>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left" vertical="top"/>
    </xf>
    <xf numFmtId="0" fontId="2" fillId="0" borderId="0" xfId="0" applyFont="1" applyAlignment="1">
      <alignment horizontal="left" vertical="top" wrapText="1"/>
    </xf>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585F7-C723-4847-81A6-FAF605875832}">
  <dimension ref="A1:L123"/>
  <sheetViews>
    <sheetView tabSelected="1" topLeftCell="B1" zoomScaleNormal="100" workbookViewId="0">
      <pane ySplit="1" topLeftCell="A2" activePane="bottomLeft" state="frozen"/>
      <selection pane="bottomLeft" activeCell="I2" sqref="I2"/>
    </sheetView>
  </sheetViews>
  <sheetFormatPr defaultColWidth="8.85546875" defaultRowHeight="15" x14ac:dyDescent="0.25"/>
  <cols>
    <col min="1" max="1" width="10.28515625" style="1" customWidth="1"/>
    <col min="2" max="2" width="28.85546875" style="1" customWidth="1"/>
    <col min="3" max="3" width="16.28515625" style="1" customWidth="1"/>
    <col min="4" max="4" width="31.5703125" style="1" customWidth="1"/>
    <col min="5" max="5" width="57.140625" style="1" customWidth="1"/>
    <col min="6" max="6" width="33" style="1" customWidth="1"/>
    <col min="7" max="8" width="9.7109375" style="1" customWidth="1"/>
    <col min="9" max="16384" width="8.85546875" style="1"/>
  </cols>
  <sheetData>
    <row r="1" spans="1:11" x14ac:dyDescent="0.25">
      <c r="C1" s="1" t="s">
        <v>4</v>
      </c>
      <c r="D1" s="1" t="s">
        <v>7</v>
      </c>
      <c r="E1" s="1" t="s">
        <v>6</v>
      </c>
      <c r="F1" s="1" t="s">
        <v>34</v>
      </c>
      <c r="G1" s="1" t="s">
        <v>13</v>
      </c>
      <c r="H1" s="1" t="s">
        <v>38</v>
      </c>
      <c r="I1" s="1" t="s">
        <v>14</v>
      </c>
      <c r="J1" s="1" t="s">
        <v>32</v>
      </c>
      <c r="K1" s="1" t="s">
        <v>9</v>
      </c>
    </row>
    <row r="2" spans="1:11" x14ac:dyDescent="0.25">
      <c r="A2" s="2" t="s">
        <v>33</v>
      </c>
      <c r="B2" s="2" t="s">
        <v>168</v>
      </c>
      <c r="C2" s="1" t="s">
        <v>5</v>
      </c>
      <c r="D2" s="1" t="s">
        <v>8</v>
      </c>
      <c r="E2" s="1" t="s">
        <v>15</v>
      </c>
      <c r="F2" s="1" t="s">
        <v>35</v>
      </c>
      <c r="G2" s="1">
        <v>1</v>
      </c>
      <c r="H2" s="1">
        <f>G2*G3</f>
        <v>301</v>
      </c>
      <c r="I2" s="1">
        <f>G2*G3*G4</f>
        <v>10535</v>
      </c>
    </row>
    <row r="3" spans="1:11" x14ac:dyDescent="0.25">
      <c r="A3" s="2"/>
      <c r="B3" s="2"/>
      <c r="C3" s="1" t="s">
        <v>18</v>
      </c>
      <c r="D3" s="1" t="s">
        <v>28</v>
      </c>
      <c r="E3" s="1" t="s">
        <v>16</v>
      </c>
      <c r="F3" s="1" t="s">
        <v>36</v>
      </c>
      <c r="G3" s="1">
        <v>301</v>
      </c>
      <c r="K3" s="1" t="s">
        <v>17</v>
      </c>
    </row>
    <row r="4" spans="1:11" x14ac:dyDescent="0.25">
      <c r="A4" s="2"/>
      <c r="B4" s="2"/>
      <c r="C4" s="1" t="s">
        <v>19</v>
      </c>
      <c r="D4" s="1" t="s">
        <v>21</v>
      </c>
      <c r="E4" s="1" t="s">
        <v>11</v>
      </c>
      <c r="F4" s="1" t="s">
        <v>37</v>
      </c>
      <c r="G4" s="1">
        <v>35</v>
      </c>
      <c r="K4" s="1" t="s">
        <v>12</v>
      </c>
    </row>
    <row r="5" spans="1:11" x14ac:dyDescent="0.25">
      <c r="A5" s="2"/>
      <c r="B5" s="2"/>
    </row>
    <row r="6" spans="1:11" x14ac:dyDescent="0.25">
      <c r="A6" s="2" t="s">
        <v>163</v>
      </c>
      <c r="B6" s="2" t="s">
        <v>169</v>
      </c>
      <c r="C6" s="1" t="s">
        <v>5</v>
      </c>
      <c r="D6" s="1" t="s">
        <v>20</v>
      </c>
      <c r="E6" s="1" t="s">
        <v>31</v>
      </c>
      <c r="F6" s="1" t="s">
        <v>35</v>
      </c>
      <c r="G6" s="1">
        <v>1</v>
      </c>
      <c r="H6" s="1">
        <f>G6*G7</f>
        <v>301</v>
      </c>
      <c r="I6" s="1">
        <f>G6*G7*G8</f>
        <v>10234</v>
      </c>
      <c r="J6" s="1" t="s">
        <v>33</v>
      </c>
    </row>
    <row r="7" spans="1:11" x14ac:dyDescent="0.25">
      <c r="A7" s="2"/>
      <c r="B7" s="2"/>
      <c r="C7" s="1" t="s">
        <v>18</v>
      </c>
      <c r="D7" s="1" t="s">
        <v>28</v>
      </c>
      <c r="E7" s="1" t="s">
        <v>16</v>
      </c>
      <c r="F7" s="1" t="s">
        <v>36</v>
      </c>
      <c r="G7" s="1">
        <v>301</v>
      </c>
    </row>
    <row r="8" spans="1:11" x14ac:dyDescent="0.25">
      <c r="A8" s="2"/>
      <c r="B8" s="2"/>
      <c r="C8" s="1" t="s">
        <v>19</v>
      </c>
      <c r="D8" s="1" t="s">
        <v>10</v>
      </c>
      <c r="E8" s="1" t="s">
        <v>22</v>
      </c>
      <c r="F8" s="1" t="s">
        <v>46</v>
      </c>
      <c r="G8" s="1">
        <v>34</v>
      </c>
      <c r="K8" s="1" t="s">
        <v>23</v>
      </c>
    </row>
    <row r="9" spans="1:11" x14ac:dyDescent="0.25">
      <c r="A9" s="2"/>
      <c r="B9" s="2"/>
    </row>
    <row r="10" spans="1:11" ht="30" x14ac:dyDescent="0.25">
      <c r="A10" s="2" t="s">
        <v>164</v>
      </c>
      <c r="B10" s="2" t="s">
        <v>0</v>
      </c>
      <c r="C10" s="1" t="s">
        <v>5</v>
      </c>
      <c r="D10" s="1" t="s">
        <v>8</v>
      </c>
      <c r="E10" s="1" t="s">
        <v>15</v>
      </c>
      <c r="F10" s="1" t="s">
        <v>35</v>
      </c>
      <c r="G10" s="1">
        <v>1</v>
      </c>
      <c r="H10" s="1">
        <f>G10*G11*G12*G13</f>
        <v>75250</v>
      </c>
      <c r="I10" s="1">
        <f>G10*G11*G14*G12*G13</f>
        <v>2633750</v>
      </c>
    </row>
    <row r="11" spans="1:11" x14ac:dyDescent="0.25">
      <c r="A11" s="2"/>
      <c r="B11" s="2"/>
      <c r="C11" s="1" t="s">
        <v>18</v>
      </c>
      <c r="D11" s="1" t="s">
        <v>28</v>
      </c>
      <c r="E11" s="1" t="s">
        <v>16</v>
      </c>
      <c r="F11" s="1" t="s">
        <v>36</v>
      </c>
      <c r="G11" s="1">
        <v>301</v>
      </c>
    </row>
    <row r="12" spans="1:11" x14ac:dyDescent="0.25">
      <c r="A12" s="2"/>
      <c r="B12" s="2"/>
      <c r="C12" s="1" t="s">
        <v>24</v>
      </c>
      <c r="D12" s="1" t="s">
        <v>29</v>
      </c>
      <c r="E12" s="1" t="s">
        <v>27</v>
      </c>
      <c r="F12" s="1" t="s">
        <v>48</v>
      </c>
      <c r="G12" s="1">
        <v>125</v>
      </c>
      <c r="K12" s="1" t="s">
        <v>49</v>
      </c>
    </row>
    <row r="13" spans="1:11" x14ac:dyDescent="0.25">
      <c r="A13" s="2"/>
      <c r="B13" s="2"/>
      <c r="C13" s="1" t="s">
        <v>25</v>
      </c>
      <c r="D13" s="1" t="s">
        <v>43</v>
      </c>
      <c r="E13" s="1" t="s">
        <v>26</v>
      </c>
      <c r="F13" s="1" t="s">
        <v>46</v>
      </c>
      <c r="G13" s="1">
        <v>2</v>
      </c>
    </row>
    <row r="14" spans="1:11" x14ac:dyDescent="0.25">
      <c r="A14" s="2"/>
      <c r="B14" s="2"/>
      <c r="C14" s="1" t="s">
        <v>19</v>
      </c>
      <c r="D14" s="1" t="s">
        <v>21</v>
      </c>
      <c r="E14" s="1" t="s">
        <v>11</v>
      </c>
      <c r="F14" s="1" t="s">
        <v>46</v>
      </c>
      <c r="G14" s="1">
        <v>35</v>
      </c>
    </row>
    <row r="15" spans="1:11" x14ac:dyDescent="0.25">
      <c r="A15" s="2"/>
      <c r="B15" s="2"/>
    </row>
    <row r="16" spans="1:11" ht="30" x14ac:dyDescent="0.25">
      <c r="A16" s="2" t="s">
        <v>165</v>
      </c>
      <c r="B16" s="2" t="s">
        <v>1</v>
      </c>
      <c r="C16" s="1" t="s">
        <v>5</v>
      </c>
      <c r="D16" s="1" t="s">
        <v>8</v>
      </c>
      <c r="E16" s="1" t="s">
        <v>15</v>
      </c>
      <c r="F16" s="1" t="s">
        <v>35</v>
      </c>
      <c r="G16" s="1">
        <v>1</v>
      </c>
      <c r="H16" s="1">
        <f>G16*G17*G18</f>
        <v>1204</v>
      </c>
      <c r="I16" s="1">
        <f>G16*G17*G19*G18</f>
        <v>42140</v>
      </c>
    </row>
    <row r="17" spans="1:11" x14ac:dyDescent="0.25">
      <c r="A17" s="2"/>
      <c r="B17" s="2"/>
      <c r="C17" s="1" t="s">
        <v>18</v>
      </c>
      <c r="D17" s="1" t="s">
        <v>28</v>
      </c>
      <c r="E17" s="1" t="s">
        <v>16</v>
      </c>
      <c r="F17" s="1" t="s">
        <v>36</v>
      </c>
      <c r="G17" s="1">
        <v>301</v>
      </c>
    </row>
    <row r="18" spans="1:11" x14ac:dyDescent="0.25">
      <c r="A18" s="2"/>
      <c r="B18" s="2"/>
      <c r="C18" s="1" t="s">
        <v>30</v>
      </c>
      <c r="D18" s="1" t="s">
        <v>42</v>
      </c>
      <c r="E18" s="1" t="s">
        <v>39</v>
      </c>
      <c r="F18" s="1" t="s">
        <v>46</v>
      </c>
      <c r="G18" s="1">
        <v>4</v>
      </c>
    </row>
    <row r="19" spans="1:11" x14ac:dyDescent="0.25">
      <c r="A19" s="2"/>
      <c r="B19" s="2"/>
      <c r="C19" s="1" t="s">
        <v>19</v>
      </c>
      <c r="D19" s="1" t="s">
        <v>21</v>
      </c>
      <c r="E19" s="1" t="s">
        <v>11</v>
      </c>
      <c r="F19" s="1" t="s">
        <v>46</v>
      </c>
      <c r="G19" s="1">
        <v>35</v>
      </c>
    </row>
    <row r="20" spans="1:11" x14ac:dyDescent="0.25">
      <c r="A20" s="2"/>
      <c r="B20" s="2"/>
    </row>
    <row r="21" spans="1:11" x14ac:dyDescent="0.25">
      <c r="A21" s="2" t="s">
        <v>166</v>
      </c>
      <c r="B21" s="2" t="s">
        <v>2</v>
      </c>
      <c r="C21" s="1" t="s">
        <v>5</v>
      </c>
      <c r="D21" s="1" t="s">
        <v>8</v>
      </c>
      <c r="E21" s="1" t="s">
        <v>15</v>
      </c>
      <c r="F21" s="1" t="s">
        <v>35</v>
      </c>
      <c r="G21" s="1">
        <v>1</v>
      </c>
      <c r="H21" s="1">
        <f>G21*G22*G23</f>
        <v>301</v>
      </c>
      <c r="I21" s="1">
        <f>G21*G22*G24*G23</f>
        <v>10535</v>
      </c>
    </row>
    <row r="22" spans="1:11" x14ac:dyDescent="0.25">
      <c r="A22" s="2"/>
      <c r="B22" s="2"/>
      <c r="C22" s="1" t="s">
        <v>18</v>
      </c>
      <c r="D22" s="1" t="s">
        <v>28</v>
      </c>
      <c r="E22" s="1" t="s">
        <v>16</v>
      </c>
      <c r="F22" s="1" t="s">
        <v>36</v>
      </c>
      <c r="G22" s="1">
        <v>301</v>
      </c>
    </row>
    <row r="23" spans="1:11" x14ac:dyDescent="0.25">
      <c r="A23" s="2"/>
      <c r="B23" s="2"/>
      <c r="C23" s="1" t="s">
        <v>40</v>
      </c>
      <c r="D23" s="1" t="s">
        <v>41</v>
      </c>
      <c r="E23" s="1" t="s">
        <v>44</v>
      </c>
      <c r="F23" s="1" t="s">
        <v>46</v>
      </c>
      <c r="G23" s="1">
        <v>1</v>
      </c>
      <c r="K23" s="1" t="s">
        <v>45</v>
      </c>
    </row>
    <row r="24" spans="1:11" x14ac:dyDescent="0.25">
      <c r="A24" s="2"/>
      <c r="B24" s="2"/>
      <c r="C24" s="1" t="s">
        <v>19</v>
      </c>
      <c r="D24" s="1" t="s">
        <v>21</v>
      </c>
      <c r="E24" s="1" t="s">
        <v>11</v>
      </c>
      <c r="F24" s="1" t="s">
        <v>46</v>
      </c>
      <c r="G24" s="1">
        <v>35</v>
      </c>
    </row>
    <row r="25" spans="1:11" x14ac:dyDescent="0.25">
      <c r="A25" s="2"/>
      <c r="B25" s="2"/>
    </row>
    <row r="26" spans="1:11" x14ac:dyDescent="0.25">
      <c r="A26" s="2" t="s">
        <v>167</v>
      </c>
      <c r="B26" s="2" t="s">
        <v>3</v>
      </c>
      <c r="C26" s="1" t="s">
        <v>5</v>
      </c>
      <c r="D26" s="1" t="s">
        <v>8</v>
      </c>
      <c r="E26" s="1" t="s">
        <v>15</v>
      </c>
      <c r="F26" s="1" t="s">
        <v>35</v>
      </c>
      <c r="G26" s="1">
        <v>1</v>
      </c>
      <c r="H26" s="1">
        <f>G26*G27*G28</f>
        <v>301</v>
      </c>
      <c r="I26" s="1">
        <f>G26*G27*G29*G28</f>
        <v>10535</v>
      </c>
    </row>
    <row r="27" spans="1:11" x14ac:dyDescent="0.25">
      <c r="C27" s="1" t="s">
        <v>18</v>
      </c>
      <c r="D27" s="1" t="s">
        <v>28</v>
      </c>
      <c r="E27" s="1" t="s">
        <v>16</v>
      </c>
      <c r="F27" s="1" t="s">
        <v>36</v>
      </c>
      <c r="G27" s="1">
        <v>301</v>
      </c>
    </row>
    <row r="28" spans="1:11" x14ac:dyDescent="0.25">
      <c r="C28" s="1" t="s">
        <v>47</v>
      </c>
      <c r="D28" s="1" t="s">
        <v>41</v>
      </c>
      <c r="E28" s="1" t="s">
        <v>44</v>
      </c>
      <c r="F28" s="1" t="s">
        <v>46</v>
      </c>
      <c r="G28" s="1">
        <v>1</v>
      </c>
      <c r="K28" s="1" t="s">
        <v>45</v>
      </c>
    </row>
    <row r="29" spans="1:11" x14ac:dyDescent="0.25">
      <c r="C29" s="1" t="s">
        <v>19</v>
      </c>
      <c r="D29" s="1" t="s">
        <v>21</v>
      </c>
      <c r="E29" s="1" t="s">
        <v>11</v>
      </c>
      <c r="F29" s="1" t="s">
        <v>46</v>
      </c>
      <c r="G29" s="1">
        <v>35</v>
      </c>
    </row>
    <row r="43" spans="1:12" x14ac:dyDescent="0.25">
      <c r="A43" s="1" t="s">
        <v>173</v>
      </c>
    </row>
    <row r="46" spans="1:12" x14ac:dyDescent="0.25">
      <c r="A46" s="1" t="s">
        <v>50</v>
      </c>
      <c r="B46" s="1" t="s">
        <v>51</v>
      </c>
      <c r="C46" s="1" t="s">
        <v>5</v>
      </c>
      <c r="D46" s="1" t="s">
        <v>171</v>
      </c>
      <c r="E46" s="1" t="s">
        <v>172</v>
      </c>
      <c r="F46" s="1" t="s">
        <v>35</v>
      </c>
      <c r="G46" s="1">
        <v>1</v>
      </c>
      <c r="H46" s="1">
        <f>G46*G47</f>
        <v>301</v>
      </c>
      <c r="I46" s="1">
        <f>G46*G47*G48</f>
        <v>10535</v>
      </c>
      <c r="J46" s="1" t="s">
        <v>33</v>
      </c>
      <c r="L46" s="1" t="s">
        <v>52</v>
      </c>
    </row>
    <row r="47" spans="1:12" x14ac:dyDescent="0.25">
      <c r="C47" s="1" t="s">
        <v>18</v>
      </c>
      <c r="D47" s="1" t="s">
        <v>28</v>
      </c>
      <c r="E47" s="1" t="s">
        <v>16</v>
      </c>
      <c r="F47" s="1" t="s">
        <v>36</v>
      </c>
      <c r="G47" s="1">
        <v>301</v>
      </c>
    </row>
    <row r="48" spans="1:12" x14ac:dyDescent="0.25">
      <c r="C48" s="1" t="s">
        <v>19</v>
      </c>
      <c r="D48" s="1" t="s">
        <v>21</v>
      </c>
      <c r="E48" s="1" t="s">
        <v>11</v>
      </c>
      <c r="F48" s="1" t="s">
        <v>37</v>
      </c>
      <c r="G48" s="1">
        <v>35</v>
      </c>
    </row>
    <row r="50" spans="1:12" x14ac:dyDescent="0.25">
      <c r="A50" s="1" t="s">
        <v>53</v>
      </c>
      <c r="B50" s="1" t="s">
        <v>54</v>
      </c>
      <c r="C50" s="1" t="s">
        <v>5</v>
      </c>
      <c r="D50" s="1" t="s">
        <v>8</v>
      </c>
      <c r="E50" s="1" t="s">
        <v>15</v>
      </c>
      <c r="F50" s="1" t="s">
        <v>35</v>
      </c>
      <c r="G50" s="1">
        <v>1</v>
      </c>
      <c r="H50" s="1">
        <f>G50*G51*G52</f>
        <v>602</v>
      </c>
      <c r="I50" s="1">
        <f>G50*G51*G53*G52</f>
        <v>21070</v>
      </c>
      <c r="J50" s="1" t="s">
        <v>164</v>
      </c>
      <c r="L50" s="1" t="s">
        <v>55</v>
      </c>
    </row>
    <row r="51" spans="1:12" x14ac:dyDescent="0.25">
      <c r="C51" s="1" t="s">
        <v>18</v>
      </c>
      <c r="D51" s="1" t="s">
        <v>28</v>
      </c>
      <c r="E51" s="1" t="s">
        <v>16</v>
      </c>
      <c r="F51" s="1" t="s">
        <v>36</v>
      </c>
      <c r="G51" s="1">
        <v>301</v>
      </c>
    </row>
    <row r="52" spans="1:12" x14ac:dyDescent="0.25">
      <c r="C52" s="1" t="s">
        <v>25</v>
      </c>
      <c r="D52" s="1" t="s">
        <v>43</v>
      </c>
      <c r="E52" s="1" t="s">
        <v>26</v>
      </c>
      <c r="F52" s="1" t="s">
        <v>46</v>
      </c>
      <c r="G52" s="1">
        <v>2</v>
      </c>
    </row>
    <row r="53" spans="1:12" x14ac:dyDescent="0.25">
      <c r="C53" s="1" t="s">
        <v>19</v>
      </c>
      <c r="D53" s="1" t="s">
        <v>21</v>
      </c>
      <c r="E53" s="1" t="s">
        <v>11</v>
      </c>
      <c r="F53" s="1" t="s">
        <v>46</v>
      </c>
      <c r="G53" s="1">
        <v>35</v>
      </c>
    </row>
    <row r="55" spans="1:12" x14ac:dyDescent="0.25">
      <c r="A55" s="1" t="s">
        <v>56</v>
      </c>
      <c r="B55" s="1" t="s">
        <v>57</v>
      </c>
      <c r="C55" s="1" t="s">
        <v>5</v>
      </c>
      <c r="D55" s="1" t="s">
        <v>8</v>
      </c>
      <c r="E55" s="1" t="s">
        <v>15</v>
      </c>
      <c r="F55" s="1" t="s">
        <v>35</v>
      </c>
      <c r="G55" s="1">
        <v>1</v>
      </c>
      <c r="H55" s="1">
        <f>G55*G56*G57</f>
        <v>37625</v>
      </c>
      <c r="I55" s="1">
        <f>G55*G56*G58*G57</f>
        <v>1316875</v>
      </c>
      <c r="J55" s="1" t="s">
        <v>164</v>
      </c>
      <c r="L55" s="1" t="s">
        <v>58</v>
      </c>
    </row>
    <row r="56" spans="1:12" x14ac:dyDescent="0.25">
      <c r="C56" s="1" t="s">
        <v>18</v>
      </c>
      <c r="D56" s="1" t="s">
        <v>28</v>
      </c>
      <c r="E56" s="1" t="s">
        <v>16</v>
      </c>
      <c r="F56" s="1" t="s">
        <v>36</v>
      </c>
      <c r="G56" s="1">
        <v>301</v>
      </c>
    </row>
    <row r="57" spans="1:12" x14ac:dyDescent="0.25">
      <c r="C57" s="1" t="s">
        <v>24</v>
      </c>
      <c r="D57" s="1" t="s">
        <v>29</v>
      </c>
      <c r="E57" s="1" t="s">
        <v>27</v>
      </c>
      <c r="F57" s="1" t="s">
        <v>48</v>
      </c>
      <c r="G57" s="1">
        <v>125</v>
      </c>
      <c r="K57" s="1" t="s">
        <v>170</v>
      </c>
    </row>
    <row r="58" spans="1:12" x14ac:dyDescent="0.25">
      <c r="C58" s="1" t="s">
        <v>19</v>
      </c>
      <c r="D58" s="1" t="s">
        <v>21</v>
      </c>
      <c r="E58" s="1" t="s">
        <v>11</v>
      </c>
      <c r="F58" s="1" t="s">
        <v>46</v>
      </c>
      <c r="G58" s="1">
        <v>35</v>
      </c>
    </row>
    <row r="61" spans="1:12" x14ac:dyDescent="0.25">
      <c r="A61" s="1" t="s">
        <v>59</v>
      </c>
      <c r="B61" s="1" t="s">
        <v>60</v>
      </c>
      <c r="L61" s="1" t="s">
        <v>61</v>
      </c>
    </row>
    <row r="62" spans="1:12" x14ac:dyDescent="0.25">
      <c r="A62" s="1" t="s">
        <v>62</v>
      </c>
      <c r="B62" s="1" t="s">
        <v>63</v>
      </c>
      <c r="L62" s="1" t="s">
        <v>64</v>
      </c>
    </row>
    <row r="63" spans="1:12" x14ac:dyDescent="0.25">
      <c r="A63" s="1" t="s">
        <v>65</v>
      </c>
      <c r="B63" s="1" t="s">
        <v>66</v>
      </c>
      <c r="L63" s="1" t="s">
        <v>67</v>
      </c>
    </row>
    <row r="64" spans="1:12" x14ac:dyDescent="0.25">
      <c r="A64" s="1" t="s">
        <v>68</v>
      </c>
      <c r="B64" s="1" t="s">
        <v>69</v>
      </c>
      <c r="L64" s="1" t="s">
        <v>70</v>
      </c>
    </row>
    <row r="65" spans="1:12" x14ac:dyDescent="0.25">
      <c r="A65" s="1" t="s">
        <v>71</v>
      </c>
      <c r="B65" s="1" t="s">
        <v>72</v>
      </c>
      <c r="L65" s="1" t="s">
        <v>73</v>
      </c>
    </row>
    <row r="66" spans="1:12" x14ac:dyDescent="0.25">
      <c r="A66" s="1" t="s">
        <v>74</v>
      </c>
      <c r="B66" s="1" t="s">
        <v>75</v>
      </c>
      <c r="L66" s="1" t="s">
        <v>76</v>
      </c>
    </row>
    <row r="67" spans="1:12" x14ac:dyDescent="0.25">
      <c r="A67" s="1" t="s">
        <v>77</v>
      </c>
      <c r="B67" s="1" t="s">
        <v>78</v>
      </c>
      <c r="L67" s="1" t="s">
        <v>79</v>
      </c>
    </row>
    <row r="68" spans="1:12" x14ac:dyDescent="0.25">
      <c r="A68" s="1" t="s">
        <v>80</v>
      </c>
      <c r="B68" s="1" t="s">
        <v>81</v>
      </c>
      <c r="L68" s="1" t="s">
        <v>82</v>
      </c>
    </row>
    <row r="69" spans="1:12" x14ac:dyDescent="0.25">
      <c r="L69" s="1" t="s">
        <v>83</v>
      </c>
    </row>
    <row r="70" spans="1:12" x14ac:dyDescent="0.25">
      <c r="A70" s="1" t="s">
        <v>84</v>
      </c>
      <c r="B70" s="1" t="s">
        <v>85</v>
      </c>
      <c r="L70" s="1" t="s">
        <v>86</v>
      </c>
    </row>
    <row r="71" spans="1:12" x14ac:dyDescent="0.25">
      <c r="A71" s="1" t="s">
        <v>87</v>
      </c>
      <c r="B71" s="1" t="s">
        <v>88</v>
      </c>
      <c r="L71" s="1" t="s">
        <v>113</v>
      </c>
    </row>
    <row r="72" spans="1:12" x14ac:dyDescent="0.25">
      <c r="L72" s="1" t="s">
        <v>114</v>
      </c>
    </row>
    <row r="73" spans="1:12" x14ac:dyDescent="0.25">
      <c r="A73" s="1" t="s">
        <v>89</v>
      </c>
      <c r="B73" s="1" t="s">
        <v>90</v>
      </c>
      <c r="L73" s="1" t="s">
        <v>115</v>
      </c>
    </row>
    <row r="74" spans="1:12" x14ac:dyDescent="0.25">
      <c r="L74" s="1" t="s">
        <v>114</v>
      </c>
    </row>
    <row r="75" spans="1:12" x14ac:dyDescent="0.25">
      <c r="A75" s="1" t="s">
        <v>91</v>
      </c>
      <c r="B75" s="1" t="s">
        <v>92</v>
      </c>
      <c r="L75" s="1" t="s">
        <v>116</v>
      </c>
    </row>
    <row r="76" spans="1:12" x14ac:dyDescent="0.25">
      <c r="L76" s="1" t="s">
        <v>114</v>
      </c>
    </row>
    <row r="77" spans="1:12" x14ac:dyDescent="0.25">
      <c r="A77" s="1" t="s">
        <v>93</v>
      </c>
      <c r="B77" s="1" t="s">
        <v>94</v>
      </c>
      <c r="L77" s="1" t="s">
        <v>117</v>
      </c>
    </row>
    <row r="78" spans="1:12" x14ac:dyDescent="0.25">
      <c r="L78" s="1" t="s">
        <v>114</v>
      </c>
    </row>
    <row r="79" spans="1:12" x14ac:dyDescent="0.25">
      <c r="A79" s="1" t="s">
        <v>95</v>
      </c>
      <c r="B79" s="1" t="s">
        <v>96</v>
      </c>
      <c r="L79" s="1" t="s">
        <v>118</v>
      </c>
    </row>
    <row r="80" spans="1:12" x14ac:dyDescent="0.25">
      <c r="L80" s="1" t="s">
        <v>114</v>
      </c>
    </row>
    <row r="81" spans="1:12" x14ac:dyDescent="0.25">
      <c r="A81" s="1" t="s">
        <v>97</v>
      </c>
      <c r="B81" s="1" t="s">
        <v>98</v>
      </c>
      <c r="L81" s="1" t="s">
        <v>119</v>
      </c>
    </row>
    <row r="82" spans="1:12" x14ac:dyDescent="0.25">
      <c r="L82" s="1" t="s">
        <v>114</v>
      </c>
    </row>
    <row r="83" spans="1:12" x14ac:dyDescent="0.25">
      <c r="A83" s="1" t="s">
        <v>99</v>
      </c>
      <c r="B83" s="1" t="s">
        <v>100</v>
      </c>
      <c r="L83" s="1" t="s">
        <v>120</v>
      </c>
    </row>
    <row r="84" spans="1:12" x14ac:dyDescent="0.25">
      <c r="L84" s="1" t="s">
        <v>121</v>
      </c>
    </row>
    <row r="85" spans="1:12" x14ac:dyDescent="0.25">
      <c r="A85" s="1" t="s">
        <v>101</v>
      </c>
      <c r="B85" s="1" t="s">
        <v>102</v>
      </c>
      <c r="L85" s="1" t="s">
        <v>122</v>
      </c>
    </row>
    <row r="86" spans="1:12" x14ac:dyDescent="0.25">
      <c r="L86" s="1" t="s">
        <v>121</v>
      </c>
    </row>
    <row r="87" spans="1:12" x14ac:dyDescent="0.25">
      <c r="L87" s="1" t="s">
        <v>123</v>
      </c>
    </row>
    <row r="88" spans="1:12" x14ac:dyDescent="0.25">
      <c r="L88" s="1" t="s">
        <v>124</v>
      </c>
    </row>
    <row r="89" spans="1:12" x14ac:dyDescent="0.25">
      <c r="L89" s="1" t="s">
        <v>125</v>
      </c>
    </row>
    <row r="90" spans="1:12" x14ac:dyDescent="0.25">
      <c r="L90" s="1" t="s">
        <v>126</v>
      </c>
    </row>
    <row r="91" spans="1:12" x14ac:dyDescent="0.25">
      <c r="A91" s="1" t="s">
        <v>103</v>
      </c>
      <c r="B91" s="1" t="s">
        <v>104</v>
      </c>
      <c r="L91" s="1" t="s">
        <v>127</v>
      </c>
    </row>
    <row r="92" spans="1:12" x14ac:dyDescent="0.25">
      <c r="L92" s="1" t="s">
        <v>121</v>
      </c>
    </row>
    <row r="93" spans="1:12" x14ac:dyDescent="0.25">
      <c r="A93" s="1" t="s">
        <v>105</v>
      </c>
      <c r="B93" s="1" t="s">
        <v>106</v>
      </c>
      <c r="L93" s="1" t="s">
        <v>128</v>
      </c>
    </row>
    <row r="94" spans="1:12" x14ac:dyDescent="0.25">
      <c r="L94" s="1" t="s">
        <v>121</v>
      </c>
    </row>
    <row r="95" spans="1:12" x14ac:dyDescent="0.25">
      <c r="A95" s="1" t="s">
        <v>107</v>
      </c>
      <c r="B95" s="1" t="s">
        <v>108</v>
      </c>
      <c r="L95" s="1" t="s">
        <v>129</v>
      </c>
    </row>
    <row r="96" spans="1:12" x14ac:dyDescent="0.25">
      <c r="L96" s="1" t="s">
        <v>121</v>
      </c>
    </row>
    <row r="97" spans="1:12" x14ac:dyDescent="0.25">
      <c r="L97" s="1" t="s">
        <v>130</v>
      </c>
    </row>
    <row r="98" spans="1:12" x14ac:dyDescent="0.25">
      <c r="A98" s="1" t="s">
        <v>109</v>
      </c>
      <c r="B98" s="1" t="s">
        <v>110</v>
      </c>
      <c r="L98" s="1" t="s">
        <v>131</v>
      </c>
    </row>
    <row r="99" spans="1:12" x14ac:dyDescent="0.25">
      <c r="L99" s="1" t="s">
        <v>121</v>
      </c>
    </row>
    <row r="100" spans="1:12" x14ac:dyDescent="0.25">
      <c r="L100" s="1" t="s">
        <v>132</v>
      </c>
    </row>
    <row r="101" spans="1:12" x14ac:dyDescent="0.25">
      <c r="L101" s="1" t="s">
        <v>133</v>
      </c>
    </row>
    <row r="102" spans="1:12" x14ac:dyDescent="0.25">
      <c r="L102" s="1" t="s">
        <v>134</v>
      </c>
    </row>
    <row r="103" spans="1:12" x14ac:dyDescent="0.25">
      <c r="L103" s="1" t="s">
        <v>135</v>
      </c>
    </row>
    <row r="104" spans="1:12" x14ac:dyDescent="0.25">
      <c r="L104" s="1" t="s">
        <v>136</v>
      </c>
    </row>
    <row r="105" spans="1:12" x14ac:dyDescent="0.25">
      <c r="L105" s="1" t="s">
        <v>137</v>
      </c>
    </row>
    <row r="106" spans="1:12" x14ac:dyDescent="0.25">
      <c r="L106" s="1" t="s">
        <v>138</v>
      </c>
    </row>
    <row r="107" spans="1:12" x14ac:dyDescent="0.25">
      <c r="A107" s="1" t="s">
        <v>111</v>
      </c>
      <c r="B107" s="1" t="s">
        <v>112</v>
      </c>
      <c r="L107" s="1" t="s">
        <v>139</v>
      </c>
    </row>
    <row r="108" spans="1:12" x14ac:dyDescent="0.25">
      <c r="A108" s="1" t="s">
        <v>140</v>
      </c>
      <c r="B108" s="1" t="s">
        <v>141</v>
      </c>
      <c r="L108" s="1" t="s">
        <v>142</v>
      </c>
    </row>
    <row r="109" spans="1:12" x14ac:dyDescent="0.25">
      <c r="L109" s="1" t="s">
        <v>143</v>
      </c>
    </row>
    <row r="110" spans="1:12" x14ac:dyDescent="0.25">
      <c r="L110" s="1" t="s">
        <v>144</v>
      </c>
    </row>
    <row r="111" spans="1:12" x14ac:dyDescent="0.25">
      <c r="A111" s="1" t="s">
        <v>145</v>
      </c>
      <c r="B111" s="1" t="s">
        <v>146</v>
      </c>
      <c r="L111" s="1" t="s">
        <v>147</v>
      </c>
    </row>
    <row r="112" spans="1:12" x14ac:dyDescent="0.25">
      <c r="A112" s="1" t="s">
        <v>148</v>
      </c>
      <c r="B112" s="1" t="s">
        <v>149</v>
      </c>
      <c r="L112" s="1" t="s">
        <v>150</v>
      </c>
    </row>
    <row r="113" spans="1:12" x14ac:dyDescent="0.25">
      <c r="L113" s="1" t="s">
        <v>151</v>
      </c>
    </row>
    <row r="114" spans="1:12" x14ac:dyDescent="0.25">
      <c r="A114" s="1" t="s">
        <v>152</v>
      </c>
      <c r="B114" s="1" t="s">
        <v>153</v>
      </c>
      <c r="L114" s="1" t="s">
        <v>154</v>
      </c>
    </row>
    <row r="115" spans="1:12" x14ac:dyDescent="0.25">
      <c r="L115" s="1" t="s">
        <v>155</v>
      </c>
    </row>
    <row r="116" spans="1:12" x14ac:dyDescent="0.25">
      <c r="L116" s="1" t="s">
        <v>156</v>
      </c>
    </row>
    <row r="117" spans="1:12" x14ac:dyDescent="0.25">
      <c r="L117" s="1" t="s">
        <v>157</v>
      </c>
    </row>
    <row r="118" spans="1:12" x14ac:dyDescent="0.25">
      <c r="L118" s="1" t="s">
        <v>158</v>
      </c>
    </row>
    <row r="119" spans="1:12" x14ac:dyDescent="0.25">
      <c r="L119" s="1" t="s">
        <v>159</v>
      </c>
    </row>
    <row r="120" spans="1:12" x14ac:dyDescent="0.25">
      <c r="L120" s="1" t="s">
        <v>160</v>
      </c>
    </row>
    <row r="121" spans="1:12" x14ac:dyDescent="0.25">
      <c r="L121" s="1" t="s">
        <v>161</v>
      </c>
    </row>
    <row r="122" spans="1:12" x14ac:dyDescent="0.25">
      <c r="L122" s="1" t="s">
        <v>162</v>
      </c>
    </row>
    <row r="123" spans="1:12" x14ac:dyDescent="0.25">
      <c r="L123" s="1" t="s">
        <v>144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Blad1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Vannieuwenhuyze Jorre</dc:creator>
  <cp:lastModifiedBy>Vannieuwenhuyze Jorre</cp:lastModifiedBy>
  <dcterms:created xsi:type="dcterms:W3CDTF">2025-02-01T09:27:06Z</dcterms:created>
  <dcterms:modified xsi:type="dcterms:W3CDTF">2025-02-04T10:30:38Z</dcterms:modified>
</cp:coreProperties>
</file>